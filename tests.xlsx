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ivat\gimbal_test_01\"/>
    </mc:Choice>
  </mc:AlternateContent>
  <xr:revisionPtr revIDLastSave="0" documentId="13_ncr:1_{4F95F316-423B-46F2-8A7A-C82F8BD3DAF4}" xr6:coauthVersionLast="47" xr6:coauthVersionMax="47" xr10:uidLastSave="{00000000-0000-0000-0000-000000000000}"/>
  <bookViews>
    <workbookView xWindow="8325" yWindow="1185" windowWidth="27135" windowHeight="131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F18" i="1"/>
  <c r="D10" i="1"/>
  <c r="F11" i="1"/>
  <c r="E11" i="1"/>
  <c r="D11" i="1"/>
  <c r="F6" i="1"/>
  <c r="E6" i="1"/>
  <c r="D6" i="1"/>
  <c r="D5" i="1"/>
</calcChain>
</file>

<file path=xl/sharedStrings.xml><?xml version="1.0" encoding="utf-8"?>
<sst xmlns="http://schemas.openxmlformats.org/spreadsheetml/2006/main" count="13" uniqueCount="11">
  <si>
    <t>Ku</t>
  </si>
  <si>
    <t>P</t>
  </si>
  <si>
    <t>I</t>
  </si>
  <si>
    <t>D</t>
  </si>
  <si>
    <t>Tu</t>
  </si>
  <si>
    <t>R1</t>
  </si>
  <si>
    <t>R2</t>
  </si>
  <si>
    <t>V1</t>
  </si>
  <si>
    <t>V2</t>
  </si>
  <si>
    <t>MPM3610 (from datasheet p.16)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</si>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</sst>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24"/>
  <sheetViews>
    <sheetView tabSelected="1" topLeftCell="A7" workbookViewId="0">
      <selection activeCell="D18" sqref="D18"/>
    </sheetView>
  </sheetViews>
  <sheetFormatPr defaultRowHeight="15" x14ac:dyDescent="0.25"/>
  <cols>
    <col min="3" max="3" width="10.5703125" bestFit="1" customWidth="1"/>
  </cols>
  <sheetData>
    <row r="4" spans="2:6" x14ac:dyDescent="0.25">
      <c r="B4" t="s">
        <v>0</v>
      </c>
      <c r="C4" t="s">
        <v>4</v>
      </c>
      <c r="D4" t="s">
        <v>1</v>
      </c>
      <c r="E4" t="s">
        <v>2</v>
      </c>
      <c r="F4" t="s">
        <v>3</v>
      </c>
    </row>
    <row r="5" spans="2:6" x14ac:dyDescent="0.25">
      <c r="B5">
        <v>0.1</v>
      </c>
      <c r="C5">
        <v>0.05</v>
      </c>
      <c r="D5">
        <f>0.5*B5</f>
        <v>0.05</v>
      </c>
    </row>
    <row r="6" spans="2:6" x14ac:dyDescent="0.25">
      <c r="D6">
        <f>0.45*B5</f>
        <v>4.5000000000000005E-2</v>
      </c>
      <c r="E6">
        <f>0.54*B5/C5</f>
        <v>1.08</v>
      </c>
      <c r="F6">
        <f>3*B5*C5/40</f>
        <v>3.7500000000000006E-4</v>
      </c>
    </row>
    <row r="10" spans="2:6" x14ac:dyDescent="0.25">
      <c r="B10">
        <v>60</v>
      </c>
      <c r="C10">
        <v>0.05</v>
      </c>
      <c r="D10">
        <f>0.5*B10</f>
        <v>30</v>
      </c>
    </row>
    <row r="11" spans="2:6" x14ac:dyDescent="0.25">
      <c r="D11">
        <f>0.45*B10</f>
        <v>27</v>
      </c>
      <c r="E11">
        <f>0.54*B10/C10</f>
        <v>648.00000000000011</v>
      </c>
      <c r="F11">
        <f>3*B10*C10/40</f>
        <v>0.22500000000000001</v>
      </c>
    </row>
    <row r="17" spans="2:6" x14ac:dyDescent="0.25">
      <c r="B17" t="s">
        <v>5</v>
      </c>
      <c r="C17">
        <v>13</v>
      </c>
      <c r="E17" t="s">
        <v>7</v>
      </c>
      <c r="F17" s="1">
        <v>12</v>
      </c>
    </row>
    <row r="18" spans="2:6" x14ac:dyDescent="0.25">
      <c r="B18" t="s">
        <v>6</v>
      </c>
      <c r="C18">
        <v>4.7</v>
      </c>
      <c r="E18" t="s">
        <v>8</v>
      </c>
      <c r="F18" s="1">
        <f>F17*C18/(C17+C18)</f>
        <v>3.1864406779661021</v>
      </c>
    </row>
    <row r="21" spans="2:6" x14ac:dyDescent="0.25">
      <c r="B21" t="s">
        <v>9</v>
      </c>
    </row>
    <row r="22" spans="2:6" x14ac:dyDescent="0.25">
      <c r="B22" t="s">
        <v>5</v>
      </c>
      <c r="C22" s="2">
        <v>100</v>
      </c>
    </row>
    <row r="23" spans="2:6" x14ac:dyDescent="0.25">
      <c r="B23" t="s">
        <v>10</v>
      </c>
      <c r="C23" s="2">
        <v>5.05</v>
      </c>
    </row>
    <row r="24" spans="2:6" x14ac:dyDescent="0.25">
      <c r="B24" t="s">
        <v>6</v>
      </c>
      <c r="C24" s="2">
        <f>C22/((C23/0.798)-1)</f>
        <v>18.767638758231421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Fleischer, Hannes</dc:creator>
  <cp:lastModifiedBy>Fleischer, Hannes</cp:lastModifiedBy>
  <dcterms:created xsi:type="dcterms:W3CDTF">2015-06-05T18:19:34Z</dcterms:created>
  <dcterms:modified xsi:type="dcterms:W3CDTF">2026-06-21T12:13:51Z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0d150-f41b-478f-a548-cf16ba2c6b6f_Enabled">
    <vt:lpwstr>true</vt:lpwstr>
  </property>
  <property fmtid="{D5CDD505-2E9C-101B-9397-08002B2CF9AE}" pid="3" name="MSIP_Label_8950d150-f41b-478f-a548-cf16ba2c6b6f_SetDate">
    <vt:lpwstr>2026-05-18T07:19:32Z</vt:lpwstr>
  </property>
  <property fmtid="{D5CDD505-2E9C-101B-9397-08002B2CF9AE}" pid="4" name="MSIP_Label_8950d150-f41b-478f-a548-cf16ba2c6b6f_Method">
    <vt:lpwstr>Standard</vt:lpwstr>
  </property>
  <property fmtid="{D5CDD505-2E9C-101B-9397-08002B2CF9AE}" pid="5" name="MSIP_Label_8950d150-f41b-478f-a548-cf16ba2c6b6f_Name">
    <vt:lpwstr>Internal</vt:lpwstr>
  </property>
  <property fmtid="{D5CDD505-2E9C-101B-9397-08002B2CF9AE}" pid="6" name="MSIP_Label_8950d150-f41b-478f-a548-cf16ba2c6b6f_SiteId">
    <vt:lpwstr>ed9114d4-e206-42bb-8637-1112932f3d50</vt:lpwstr>
  </property>
  <property fmtid="{D5CDD505-2E9C-101B-9397-08002B2CF9AE}" pid="7" name="MSIP_Label_8950d150-f41b-478f-a548-cf16ba2c6b6f_ActionId">
    <vt:lpwstr>23ecec3b-344e-4b86-8a06-44b4b94848d7</vt:lpwstr>
  </property>
  <property fmtid="{D5CDD505-2E9C-101B-9397-08002B2CF9AE}" pid="8" name="MSIP_Label_8950d150-f41b-478f-a548-cf16ba2c6b6f_ContentBits">
    <vt:lpwstr>0</vt:lpwstr>
  </property>
  <property fmtid="{D5CDD505-2E9C-101B-9397-08002B2CF9AE}" pid="9" name="MSIP_Label_8950d150-f41b-478f-a548-cf16ba2c6b6f_Tag">
    <vt:lpwstr>10, 3, 0, 1</vt:lpwstr>
  </property>
</Properties>
</file>